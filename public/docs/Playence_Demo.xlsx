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i" sheetId="1" state="visible" r:id="rId3"/>
    <sheet name="Utenti" sheetId="2" state="visible" r:id="rId4"/>
    <sheet name="Ticket Acquistati" sheetId="3" state="visible" r:id="rId5"/>
    <sheet name="Performance" sheetId="4" state="visible" r:id="rId6"/>
    <sheet name="Dashboard KP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<sst xmlns="http://schemas.openxmlformats.org/spreadsheetml/2006/main" count="446" uniqueCount="319">
  <si>
    <t xml:space="preserve">SportCoach – Catalogo Eventi</t>
  </si>
  <si>
    <t xml:space="preserve">Dati demo per presentazione · Aprile 2025</t>
  </si>
  <si>
    <t xml:space="preserve">ID Evento</t>
  </si>
  <si>
    <t xml:space="preserve">Titolo Evento</t>
  </si>
  <si>
    <t xml:space="preserve">Sport</t>
  </si>
  <si>
    <t xml:space="preserve">Coach</t>
  </si>
  <si>
    <t xml:space="preserve">VIP</t>
  </si>
  <si>
    <t xml:space="preserve">Data</t>
  </si>
  <si>
    <t xml:space="preserve">Luogo</t>
  </si>
  <si>
    <t xml:space="preserve">Durata (h)</t>
  </si>
  <si>
    <t xml:space="preserve">Costo (€)</t>
  </si>
  <si>
    <t xml:space="preserve">Posti Max</t>
  </si>
  <si>
    <t xml:space="preserve">Posti Liberi</t>
  </si>
  <si>
    <t xml:space="preserve">Esperienza</t>
  </si>
  <si>
    <t xml:space="preserve">Stato</t>
  </si>
  <si>
    <t xml:space="preserve">EVT-001</t>
  </si>
  <si>
    <t xml:space="preserve">Masterclass con Del Piero</t>
  </si>
  <si>
    <t xml:space="preserve">Calcio</t>
  </si>
  <si>
    <t xml:space="preserve">Alessandro Del Piero</t>
  </si>
  <si>
    <t xml:space="preserve">Si</t>
  </si>
  <si>
    <t xml:space="preserve">15/04/2025</t>
  </si>
  <si>
    <t xml:space="preserve">Milano, Linate Arena</t>
  </si>
  <si>
    <t xml:space="preserve">Intermedio</t>
  </si>
  <si>
    <t xml:space="preserve">Aperto</t>
  </si>
  <si>
    <t xml:space="preserve">EVT-002</t>
  </si>
  <si>
    <t xml:space="preserve">Tennis Pro Experience</t>
  </si>
  <si>
    <t xml:space="preserve">Tennis</t>
  </si>
  <si>
    <t xml:space="preserve">Flavia Pennetta</t>
  </si>
  <si>
    <t xml:space="preserve">22/04/2025</t>
  </si>
  <si>
    <t xml:space="preserve">Roma, Foro Italico</t>
  </si>
  <si>
    <t xml:space="preserve">Avanzato</t>
  </si>
  <si>
    <t xml:space="preserve">EVT-003</t>
  </si>
  <si>
    <t xml:space="preserve">Nuoto Agonistico Camp</t>
  </si>
  <si>
    <t xml:space="preserve">Nuoto</t>
  </si>
  <si>
    <t xml:space="preserve">Federica Pellegrini</t>
  </si>
  <si>
    <t xml:space="preserve">28/04/2025</t>
  </si>
  <si>
    <t xml:space="preserve">Torino, Piscina Olimpica</t>
  </si>
  <si>
    <t xml:space="preserve">Agonistico</t>
  </si>
  <si>
    <t xml:space="preserve">EVT-004</t>
  </si>
  <si>
    <t xml:space="preserve">Padel Weekend Warrior</t>
  </si>
  <si>
    <t xml:space="preserve">Padel</t>
  </si>
  <si>
    <t xml:space="preserve">Chiara Cainero</t>
  </si>
  <si>
    <t xml:space="preserve">No</t>
  </si>
  <si>
    <t xml:space="preserve">05/05/2025</t>
  </si>
  <si>
    <t xml:space="preserve">Milano, PadelUp</t>
  </si>
  <si>
    <t xml:space="preserve">Principiante</t>
  </si>
  <si>
    <t xml:space="preserve">EVT-005</t>
  </si>
  <si>
    <t xml:space="preserve">Yoga &amp; Performance</t>
  </si>
  <si>
    <t xml:space="preserve">Yoga</t>
  </si>
  <si>
    <t xml:space="preserve">Elena Bertolini</t>
  </si>
  <si>
    <t xml:space="preserve">10/05/2025</t>
  </si>
  <si>
    <t xml:space="preserve">Firenze, Centro Wellness</t>
  </si>
  <si>
    <t xml:space="preserve">EVT-006</t>
  </si>
  <si>
    <t xml:space="preserve">Ciclismo su strada</t>
  </si>
  <si>
    <t xml:space="preserve">Ciclismo</t>
  </si>
  <si>
    <t xml:space="preserve">Filippo Ganna</t>
  </si>
  <si>
    <t xml:space="preserve">17/05/2025</t>
  </si>
  <si>
    <t xml:space="preserve">Bergamo, Colli orobici</t>
  </si>
  <si>
    <t xml:space="preserve">Quasi pieno</t>
  </si>
  <si>
    <t xml:space="preserve">EVT-007</t>
  </si>
  <si>
    <t xml:space="preserve">CrossFit Challenge</t>
  </si>
  <si>
    <t xml:space="preserve">CrossFit</t>
  </si>
  <si>
    <t xml:space="preserve">Marco Reus</t>
  </si>
  <si>
    <t xml:space="preserve">24/05/2025</t>
  </si>
  <si>
    <t xml:space="preserve">Bologna, CF Academy</t>
  </si>
  <si>
    <t xml:space="preserve">EVT-008</t>
  </si>
  <si>
    <t xml:space="preserve">Running Urban Race</t>
  </si>
  <si>
    <t xml:space="preserve">Running</t>
  </si>
  <si>
    <t xml:space="preserve">Yeman Crippa</t>
  </si>
  <si>
    <t xml:space="preserve">31/05/2025</t>
  </si>
  <si>
    <t xml:space="preserve">Milano, Navigli</t>
  </si>
  <si>
    <t xml:space="preserve">EVT-009</t>
  </si>
  <si>
    <t xml:space="preserve">Basket 3x3 Camp</t>
  </si>
  <si>
    <t xml:space="preserve">Pallacanestro</t>
  </si>
  <si>
    <t xml:space="preserve">Danilo Gallinari</t>
  </si>
  <si>
    <t xml:space="preserve">07/06/2025</t>
  </si>
  <si>
    <t xml:space="preserve">Napoli, PalaBarbuto</t>
  </si>
  <si>
    <t xml:space="preserve">EVT-010</t>
  </si>
  <si>
    <t xml:space="preserve">Sci Estivo Avanzato</t>
  </si>
  <si>
    <t xml:space="preserve">Sci</t>
  </si>
  <si>
    <t xml:space="preserve">Federica Brignone</t>
  </si>
  <si>
    <t xml:space="preserve">14/06/2025</t>
  </si>
  <si>
    <t xml:space="preserve">Cervinia, Plateau Rosa</t>
  </si>
  <si>
    <t xml:space="preserve">EVT-011</t>
  </si>
  <si>
    <t xml:space="preserve">Arrampicata Boulder</t>
  </si>
  <si>
    <t xml:space="preserve">Arrampicata</t>
  </si>
  <si>
    <t xml:space="preserve">Stefano Ghisolfi</t>
  </si>
  <si>
    <t xml:space="preserve">21/06/2025</t>
  </si>
  <si>
    <t xml:space="preserve">Torino, Vertical</t>
  </si>
  <si>
    <t xml:space="preserve">EVT-012</t>
  </si>
  <si>
    <t xml:space="preserve">Triathlon Sprint</t>
  </si>
  <si>
    <t xml:space="preserve">Triathlon</t>
  </si>
  <si>
    <t xml:space="preserve">Alistair Brownlee</t>
  </si>
  <si>
    <t xml:space="preserve">28/06/2025</t>
  </si>
  <si>
    <t xml:space="preserve">Rimini, Adriatico</t>
  </si>
  <si>
    <t xml:space="preserve">TOTALE / MEDIA</t>
  </si>
  <si>
    <t xml:space="preserve">SportCoach – Utenti Registrati</t>
  </si>
  <si>
    <t xml:space="preserve">ID Utente</t>
  </si>
  <si>
    <t xml:space="preserve">Nome</t>
  </si>
  <si>
    <t xml:space="preserve">Cognome</t>
  </si>
  <si>
    <t xml:space="preserve">Email</t>
  </si>
  <si>
    <t xml:space="preserve">Cellulare</t>
  </si>
  <si>
    <t xml:space="preserve">Sport Preferiti</t>
  </si>
  <si>
    <t xml:space="preserve">Data Registrazione</t>
  </si>
  <si>
    <t xml:space="preserve">Ticket Acquistati</t>
  </si>
  <si>
    <t xml:space="preserve">Score Medio</t>
  </si>
  <si>
    <t xml:space="preserve">USR-001</t>
  </si>
  <si>
    <t xml:space="preserve">Mario</t>
  </si>
  <si>
    <t xml:space="preserve">Rossi</t>
  </si>
  <si>
    <t xml:space="preserve">mario.rossi@email.it</t>
  </si>
  <si>
    <t xml:space="preserve">+39 333 1234567</t>
  </si>
  <si>
    <t xml:space="preserve">Calcio, Tennis</t>
  </si>
  <si>
    <t xml:space="preserve">10/01/2025</t>
  </si>
  <si>
    <t xml:space="preserve">USR-002</t>
  </si>
  <si>
    <t xml:space="preserve">Laura</t>
  </si>
  <si>
    <t xml:space="preserve">Bianchi</t>
  </si>
  <si>
    <t xml:space="preserve">laura.bianchi@email.it</t>
  </si>
  <si>
    <t xml:space="preserve">+39 347 9876543</t>
  </si>
  <si>
    <t xml:space="preserve">Nuoto, Yoga</t>
  </si>
  <si>
    <t xml:space="preserve">15/01/2025</t>
  </si>
  <si>
    <t xml:space="preserve">USR-003</t>
  </si>
  <si>
    <t xml:space="preserve">Luca</t>
  </si>
  <si>
    <t xml:space="preserve">Verdi</t>
  </si>
  <si>
    <t xml:space="preserve">luca.verdi@email.it</t>
  </si>
  <si>
    <t xml:space="preserve">+39 320 5551234</t>
  </si>
  <si>
    <t xml:space="preserve">Padel, Running</t>
  </si>
  <si>
    <t xml:space="preserve">20/01/2025</t>
  </si>
  <si>
    <t xml:space="preserve">USR-004</t>
  </si>
  <si>
    <t xml:space="preserve">Sofia</t>
  </si>
  <si>
    <t xml:space="preserve">Ferrari</t>
  </si>
  <si>
    <t xml:space="preserve">sofia.ferrari@email.it</t>
  </si>
  <si>
    <t xml:space="preserve">+39 366 7778888</t>
  </si>
  <si>
    <t xml:space="preserve">CrossFit, Yoga</t>
  </si>
  <si>
    <t xml:space="preserve">01/02/2025</t>
  </si>
  <si>
    <t xml:space="preserve">USR-005</t>
  </si>
  <si>
    <t xml:space="preserve">Marco</t>
  </si>
  <si>
    <t xml:space="preserve">Esposito</t>
  </si>
  <si>
    <t xml:space="preserve">marco.esposito@email.it</t>
  </si>
  <si>
    <t xml:space="preserve">+39 389 4443322</t>
  </si>
  <si>
    <t xml:space="preserve">05/02/2025</t>
  </si>
  <si>
    <t xml:space="preserve">USR-006</t>
  </si>
  <si>
    <t xml:space="preserve">Giulia</t>
  </si>
  <si>
    <t xml:space="preserve">Romano</t>
  </si>
  <si>
    <t xml:space="preserve">giulia.romano@email.it</t>
  </si>
  <si>
    <t xml:space="preserve">+39 331 2223344</t>
  </si>
  <si>
    <t xml:space="preserve">Tennis, Padel</t>
  </si>
  <si>
    <t xml:space="preserve">12/02/2025</t>
  </si>
  <si>
    <t xml:space="preserve">USR-007</t>
  </si>
  <si>
    <t xml:space="preserve">Alessandro</t>
  </si>
  <si>
    <t xml:space="preserve">Conti</t>
  </si>
  <si>
    <t xml:space="preserve">ale.conti@email.it</t>
  </si>
  <si>
    <t xml:space="preserve">+39 342 6667788</t>
  </si>
  <si>
    <t xml:space="preserve">Calcio, Basketball</t>
  </si>
  <si>
    <t xml:space="preserve">18/02/2025</t>
  </si>
  <si>
    <t xml:space="preserve">USR-008</t>
  </si>
  <si>
    <t xml:space="preserve">Chiara</t>
  </si>
  <si>
    <t xml:space="preserve">Ricci</t>
  </si>
  <si>
    <t xml:space="preserve">chiara.ricci@email.it</t>
  </si>
  <si>
    <t xml:space="preserve">+39 356 1112233</t>
  </si>
  <si>
    <t xml:space="preserve">Running, Yoga</t>
  </si>
  <si>
    <t xml:space="preserve">25/02/2025</t>
  </si>
  <si>
    <t xml:space="preserve">USR-009</t>
  </si>
  <si>
    <t xml:space="preserve">Davide</t>
  </si>
  <si>
    <t xml:space="preserve">Marino</t>
  </si>
  <si>
    <t xml:space="preserve">davide.marino@email.it</t>
  </si>
  <si>
    <t xml:space="preserve">+39 370 8889900</t>
  </si>
  <si>
    <t xml:space="preserve">Sci, Triathlon</t>
  </si>
  <si>
    <t xml:space="preserve">03/03/2025</t>
  </si>
  <si>
    <t xml:space="preserve">USR-010</t>
  </si>
  <si>
    <t xml:space="preserve">Valentina</t>
  </si>
  <si>
    <t xml:space="preserve">Greco</t>
  </si>
  <si>
    <t xml:space="preserve">vale.greco@email.it</t>
  </si>
  <si>
    <t xml:space="preserve">+39 333 4445566</t>
  </si>
  <si>
    <t xml:space="preserve">10/03/2025</t>
  </si>
  <si>
    <t xml:space="preserve">USR-011</t>
  </si>
  <si>
    <t xml:space="preserve">Francesco</t>
  </si>
  <si>
    <t xml:space="preserve">Serra</t>
  </si>
  <si>
    <t xml:space="preserve">fran.serra@email.it</t>
  </si>
  <si>
    <t xml:space="preserve">+39 347 0001122</t>
  </si>
  <si>
    <t xml:space="preserve">Nuoto, Ciclismo</t>
  </si>
  <si>
    <t xml:space="preserve">17/03/2025</t>
  </si>
  <si>
    <t xml:space="preserve">USR-012</t>
  </si>
  <si>
    <t xml:space="preserve">Elisa</t>
  </si>
  <si>
    <t xml:space="preserve">Costa</t>
  </si>
  <si>
    <t xml:space="preserve">elisa.costa@email.it</t>
  </si>
  <si>
    <t xml:space="preserve">+39 320 3334455</t>
  </si>
  <si>
    <t xml:space="preserve">Padel, Tennis</t>
  </si>
  <si>
    <t xml:space="preserve">24/03/2025</t>
  </si>
  <si>
    <t xml:space="preserve">USR-013</t>
  </si>
  <si>
    <t xml:space="preserve">Nicolò</t>
  </si>
  <si>
    <t xml:space="preserve">Gallo</t>
  </si>
  <si>
    <t xml:space="preserve">nicolo.gallo@email.it</t>
  </si>
  <si>
    <t xml:space="preserve">+39 366 6667788</t>
  </si>
  <si>
    <t xml:space="preserve">01/04/2025</t>
  </si>
  <si>
    <t xml:space="preserve">USR-014</t>
  </si>
  <si>
    <t xml:space="preserve">Martina</t>
  </si>
  <si>
    <t xml:space="preserve">Bruno</t>
  </si>
  <si>
    <t xml:space="preserve">martina.bruno@email.it</t>
  </si>
  <si>
    <t xml:space="preserve">+39 389 9990011</t>
  </si>
  <si>
    <t xml:space="preserve">07/04/2025</t>
  </si>
  <si>
    <t xml:space="preserve">USR-015</t>
  </si>
  <si>
    <t xml:space="preserve">Stefano</t>
  </si>
  <si>
    <t xml:space="preserve">Villa</t>
  </si>
  <si>
    <t xml:space="preserve">ste.villa@email.it</t>
  </si>
  <si>
    <t xml:space="preserve">+39 331 2221100</t>
  </si>
  <si>
    <t xml:space="preserve">Calcio, Basket</t>
  </si>
  <si>
    <t xml:space="preserve">10/04/2025</t>
  </si>
  <si>
    <t xml:space="preserve">SportCoach – Ticket Acquistati</t>
  </si>
  <si>
    <t xml:space="preserve">ID Ticket</t>
  </si>
  <si>
    <t xml:space="preserve">Codice Conf.</t>
  </si>
  <si>
    <t xml:space="preserve">Utente</t>
  </si>
  <si>
    <t xml:space="preserve">Evento</t>
  </si>
  <si>
    <t xml:space="preserve">Data Acquisto</t>
  </si>
  <si>
    <t xml:space="preserve">Partecipanti</t>
  </si>
  <si>
    <t xml:space="preserve">Costo Totale (€)</t>
  </si>
  <si>
    <t xml:space="preserve">Fee (€)</t>
  </si>
  <si>
    <t xml:space="preserve">TKT-001</t>
  </si>
  <si>
    <t xml:space="preserve">SC-A1B2C3D</t>
  </si>
  <si>
    <t xml:space="preserve">Mario Rossi</t>
  </si>
  <si>
    <t xml:space="preserve">02/03/2025</t>
  </si>
  <si>
    <t xml:space="preserve">Confermato</t>
  </si>
  <si>
    <t xml:space="preserve">TKT-002</t>
  </si>
  <si>
    <t xml:space="preserve">SC-E4F5G6H</t>
  </si>
  <si>
    <t xml:space="preserve">Laura Bianchi</t>
  </si>
  <si>
    <t xml:space="preserve">TKT-003</t>
  </si>
  <si>
    <t xml:space="preserve">SC-I7J8K9L</t>
  </si>
  <si>
    <t xml:space="preserve">Luca Verdi</t>
  </si>
  <si>
    <t xml:space="preserve">15/03/2025</t>
  </si>
  <si>
    <t xml:space="preserve">TKT-004</t>
  </si>
  <si>
    <t xml:space="preserve">SC-M1N2O3P</t>
  </si>
  <si>
    <t xml:space="preserve">Giulia Romano</t>
  </si>
  <si>
    <t xml:space="preserve">18/03/2025</t>
  </si>
  <si>
    <t xml:space="preserve">TKT-005</t>
  </si>
  <si>
    <t xml:space="preserve">SC-Q4R5S6T</t>
  </si>
  <si>
    <t xml:space="preserve">Chiara Ricci</t>
  </si>
  <si>
    <t xml:space="preserve">20/03/2025</t>
  </si>
  <si>
    <t xml:space="preserve">TKT-006</t>
  </si>
  <si>
    <t xml:space="preserve">SC-U7V8W9X</t>
  </si>
  <si>
    <t xml:space="preserve">Davide Marino</t>
  </si>
  <si>
    <t xml:space="preserve">25/03/2025</t>
  </si>
  <si>
    <t xml:space="preserve">TKT-007</t>
  </si>
  <si>
    <t xml:space="preserve">SC-Y1Z2A3B</t>
  </si>
  <si>
    <t xml:space="preserve">Marco Esposito</t>
  </si>
  <si>
    <t xml:space="preserve">28/03/2025</t>
  </si>
  <si>
    <t xml:space="preserve">TKT-008</t>
  </si>
  <si>
    <t xml:space="preserve">SC-C4D5E6F</t>
  </si>
  <si>
    <t xml:space="preserve">Sofia Ferrari</t>
  </si>
  <si>
    <t xml:space="preserve">TKT-009</t>
  </si>
  <si>
    <t xml:space="preserve">SC-G7H8I9J</t>
  </si>
  <si>
    <t xml:space="preserve">Alessandro Conti</t>
  </si>
  <si>
    <t xml:space="preserve">03/04/2025</t>
  </si>
  <si>
    <t xml:space="preserve">TKT-010</t>
  </si>
  <si>
    <t xml:space="preserve">SC-K1L2M3N</t>
  </si>
  <si>
    <t xml:space="preserve">Francesco Serra</t>
  </si>
  <si>
    <t xml:space="preserve">05/04/2025</t>
  </si>
  <si>
    <t xml:space="preserve">TKT-011</t>
  </si>
  <si>
    <t xml:space="preserve">SC-O4P5Q6R</t>
  </si>
  <si>
    <t xml:space="preserve">Elisa Costa</t>
  </si>
  <si>
    <t xml:space="preserve">06/04/2025</t>
  </si>
  <si>
    <t xml:space="preserve">TKT-012</t>
  </si>
  <si>
    <t xml:space="preserve">SC-S7T8U9V</t>
  </si>
  <si>
    <t xml:space="preserve">Nicolò Gallo</t>
  </si>
  <si>
    <t xml:space="preserve">TKT-013</t>
  </si>
  <si>
    <t xml:space="preserve">SC-W1X2Y3Z</t>
  </si>
  <si>
    <t xml:space="preserve">Valentina Greco</t>
  </si>
  <si>
    <t xml:space="preserve">08/04/2025</t>
  </si>
  <si>
    <t xml:space="preserve">TKT-014</t>
  </si>
  <si>
    <t xml:space="preserve">SC-A4B5C6D</t>
  </si>
  <si>
    <t xml:space="preserve">Martina Bruno</t>
  </si>
  <si>
    <t xml:space="preserve">09/04/2025</t>
  </si>
  <si>
    <t xml:space="preserve">TKT-015</t>
  </si>
  <si>
    <t xml:space="preserve">SC-E7F8G9H</t>
  </si>
  <si>
    <t xml:space="preserve">Annullato</t>
  </si>
  <si>
    <t xml:space="preserve">TOTALE</t>
  </si>
  <si>
    <t xml:space="preserve">SportCoach – Performance Utenti</t>
  </si>
  <si>
    <t xml:space="preserve">ID Perf.</t>
  </si>
  <si>
    <t xml:space="preserve">FC Media (bpm)</t>
  </si>
  <si>
    <t xml:space="preserve">FC Max (bpm)</t>
  </si>
  <si>
    <t xml:space="preserve">Calorie (kcal)</t>
  </si>
  <si>
    <t xml:space="preserve">Distanza (km)</t>
  </si>
  <si>
    <t xml:space="preserve">Durata (min)</t>
  </si>
  <si>
    <t xml:space="preserve">Score (/100)</t>
  </si>
  <si>
    <t xml:space="preserve">Commento Coach</t>
  </si>
  <si>
    <t xml:space="preserve">PRF-001</t>
  </si>
  <si>
    <t xml:space="preserve">Ottima resistenza. Migliorare la gestione finale.</t>
  </si>
  <si>
    <t xml:space="preserve">PRF-002</t>
  </si>
  <si>
    <t xml:space="preserve">Tecnica eccellente. Incrementare la potenza in partenza.</t>
  </si>
  <si>
    <t xml:space="preserve">PRF-003</t>
  </si>
  <si>
    <t xml:space="preserve">Controllo notevole. Lavorare sul rovescio difensivo.</t>
  </si>
  <si>
    <t xml:space="preserve">PRF-004</t>
  </si>
  <si>
    <t xml:space="preserve">Buona mobilità. Migliorare il servizio sotto pressione.</t>
  </si>
  <si>
    <t xml:space="preserve">PRF-005</t>
  </si>
  <si>
    <t xml:space="preserve">Ritmo costante. Ottima progressione nel finale.</t>
  </si>
  <si>
    <t xml:space="preserve">PRF-006</t>
  </si>
  <si>
    <t xml:space="preserve">Tecnica fuori categoria. Postura perfetta in discesa.</t>
  </si>
  <si>
    <t xml:space="preserve">PRF-007</t>
  </si>
  <si>
    <t xml:space="preserve">Buona potenza. Gestione salita da migliorare.</t>
  </si>
  <si>
    <t xml:space="preserve">PRF-008</t>
  </si>
  <si>
    <t xml:space="preserve">Flessibilità ottima. Focus sulla respirazione profonda.</t>
  </si>
  <si>
    <t xml:space="preserve">PRF-009</t>
  </si>
  <si>
    <t xml:space="preserve">Ottimo atletismo. Migliorare la lettura del gioco.</t>
  </si>
  <si>
    <t xml:space="preserve">PRF-010</t>
  </si>
  <si>
    <t xml:space="preserve">Alta intensità mantenuta. Recupero post-WOD da ottimizzare.</t>
  </si>
  <si>
    <t xml:space="preserve">MEDIA GRUPPO</t>
  </si>
  <si>
    <t xml:space="preserve">SportCoach – Dashboard KPI</t>
  </si>
  <si>
    <t xml:space="preserve">Riepilogo performance piattaforma · Aprile 2025</t>
  </si>
  <si>
    <t xml:space="preserve">Utenti Totali</t>
  </si>
  <si>
    <t xml:space="preserve">Eventi Attivi</t>
  </si>
  <si>
    <t xml:space="preserve">Ticket Venduti</t>
  </si>
  <si>
    <t xml:space="preserve">Ricavo Totale</t>
  </si>
  <si>
    <t xml:space="preserve">Fee Incassate</t>
  </si>
  <si>
    <t xml:space="preserve">registrati alla piattaforma</t>
  </si>
  <si>
    <t xml:space="preserve">con posti disponibili</t>
  </si>
  <si>
    <t xml:space="preserve">dal lancio della piattaforma</t>
  </si>
  <si>
    <t xml:space="preserve">al lordo delle fee</t>
  </si>
  <si>
    <t xml:space="preserve">5% per transazione</t>
  </si>
  <si>
    <t xml:space="preserve">media performance utenti</t>
  </si>
  <si>
    <t xml:space="preserve">Distribuzione eventi per sport</t>
  </si>
  <si>
    <t xml:space="preserve">█░░░░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</si>
</sst>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0.0"/>
    <numFmt numFmtId="167" formatCode="#,##0.00&quot; €&quot;"/>
    <numFmt numFmtId="168" formatCode="General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CFCFC"/>
      <name val="Arial"/>
      <family val="0"/>
      <charset val="1"/>
    </font>
    <font>
      <sz val="10"/>
      <color rgb="FF1A2E1A"/>
      <name val="Arial"/>
      <family val="0"/>
      <charset val="1"/>
    </font>
    <font>
      <b val="true"/>
      <sz val="10"/>
      <color rgb="FFFCFCFC"/>
      <name val="Arial"/>
      <family val="0"/>
      <charset val="1"/>
    </font>
    <font>
      <b val="true"/>
      <sz val="10"/>
      <color rgb="FF5A3E00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6"/>
      <color rgb="FF1A2E1A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CFCFC"/>
      <name val="Arial"/>
      <family val="0"/>
      <charset val="1"/>
    </font>
    <font>
      <b val="true"/>
      <sz val="10"/>
      <color rgb="FF2081C3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61D64F"/>
        <bgColor rgb="FF33CCCC"/>
      </patternFill>
    </fill>
    <fill>
      <patternFill patternType="solid">
        <fgColor rgb="FFF8F8F8"/>
        <bgColor rgb="FFFCFCFC"/>
      </patternFill>
    </fill>
    <fill>
      <patternFill patternType="solid">
        <fgColor rgb="FF2081C3"/>
        <bgColor rgb="FF008080"/>
      </patternFill>
    </fill>
    <fill>
      <patternFill patternType="solid">
        <fgColor rgb="FFFCFCFC"/>
        <bgColor rgb="FFF8F8F8"/>
      </patternFill>
    </fill>
    <fill>
      <patternFill patternType="solid">
        <fgColor rgb="FFF8C50C"/>
        <bgColor rgb="FFFF9900"/>
      </patternFill>
    </fill>
    <fill>
      <patternFill patternType="solid">
        <fgColor rgb="FFFF6B35"/>
        <bgColor rgb="FFFF8080"/>
      </patternFill>
    </fill>
    <fill>
      <patternFill patternType="solid">
        <fgColor rgb="FFD6E8F7"/>
        <bgColor rgb="FFD4EDDA"/>
      </patternFill>
    </fill>
    <fill>
      <patternFill patternType="solid">
        <fgColor rgb="FFD4EDDA"/>
        <bgColor rgb="FFD6E8F7"/>
      </patternFill>
    </fill>
    <fill>
      <patternFill patternType="solid">
        <fgColor rgb="FFE0E0E0"/>
        <bgColor rgb="FFD6E8F7"/>
      </patternFill>
    </fill>
    <fill>
      <patternFill patternType="solid">
        <fgColor rgb="FFF8D7DA"/>
        <bgColor rgb="FFE0E0E0"/>
      </patternFill>
    </fill>
    <fill>
      <patternFill patternType="solid">
        <fgColor rgb="FFFFF9E0"/>
        <bgColor rgb="FFF8F8F8"/>
      </patternFill>
    </fill>
    <fill>
      <patternFill patternType="solid">
        <fgColor rgb="FFEEF4FB"/>
        <bgColor rgb="FFF8F8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FCFC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FF9E0"/>
      <rgbColor rgb="FFD6E8F7"/>
      <rgbColor rgb="FF660066"/>
      <rgbColor rgb="FFFF8080"/>
      <rgbColor rgb="FF2081C3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D4EDDA"/>
      <rgbColor rgb="FFF8F8F8"/>
      <rgbColor rgb="FF99CCFF"/>
      <rgbColor rgb="FFFF99CC"/>
      <rgbColor rgb="FFCC99FF"/>
      <rgbColor rgb="FFF8D7DA"/>
      <rgbColor rgb="FF3366FF"/>
      <rgbColor rgb="FF33CCCC"/>
      <rgbColor rgb="FF61D64F"/>
      <rgbColor rgb="FFF8C50C"/>
      <rgbColor rgb="FFFF9900"/>
      <rgbColor rgb="FFFF6B35"/>
      <rgbColor rgb="FF666666"/>
      <rgbColor rgb="FF969696"/>
      <rgbColor rgb="FF0C447C"/>
      <rgbColor rgb="FF339966"/>
      <rgbColor rgb="FF155724"/>
      <rgbColor rgb="FF5A3E00"/>
      <rgbColor rgb="FF993300"/>
      <rgbColor rgb="FF993366"/>
      <rgbColor rgb="FF333399"/>
      <rgbColor rgb="FF1A2E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5" t="s">
        <v>16</v>
      </c>
      <c r="C4" s="5" t="s">
        <v>17</v>
      </c>
      <c r="D4" s="5" t="s">
        <v>18</v>
      </c>
      <c r="E4" s="6" t="s">
        <v>19</v>
      </c>
      <c r="F4" s="4" t="s">
        <v>20</v>
      </c>
      <c r="G4" s="5" t="s">
        <v>21</v>
      </c>
      <c r="H4" s="4" t="n">
        <v>3</v>
      </c>
      <c r="I4" s="7" t="n">
        <v>180</v>
      </c>
      <c r="J4" s="4" t="n">
        <v>50</v>
      </c>
      <c r="K4" s="4" t="n">
        <v>16</v>
      </c>
      <c r="L4" s="4" t="s">
        <v>22</v>
      </c>
      <c r="M4" s="4" t="s">
        <v>23</v>
      </c>
    </row>
    <row r="5" customFormat="false" ht="15" hidden="false" customHeight="false" outlineLevel="0" collapsed="false">
      <c r="A5" s="8" t="s">
        <v>24</v>
      </c>
      <c r="B5" s="9" t="s">
        <v>25</v>
      </c>
      <c r="C5" s="9" t="s">
        <v>26</v>
      </c>
      <c r="D5" s="9" t="s">
        <v>27</v>
      </c>
      <c r="E5" s="6" t="s">
        <v>19</v>
      </c>
      <c r="F5" s="8" t="s">
        <v>28</v>
      </c>
      <c r="G5" s="9" t="s">
        <v>29</v>
      </c>
      <c r="H5" s="8" t="n">
        <v>2</v>
      </c>
      <c r="I5" s="10" t="n">
        <v>220</v>
      </c>
      <c r="J5" s="8" t="n">
        <v>30</v>
      </c>
      <c r="K5" s="8" t="n">
        <v>8</v>
      </c>
      <c r="L5" s="8" t="s">
        <v>30</v>
      </c>
      <c r="M5" s="8" t="s">
        <v>23</v>
      </c>
    </row>
    <row r="6" customFormat="false" ht="15" hidden="false" customHeight="false" outlineLevel="0" collapsed="false">
      <c r="A6" s="4" t="s">
        <v>31</v>
      </c>
      <c r="B6" s="5" t="s">
        <v>32</v>
      </c>
      <c r="C6" s="5" t="s">
        <v>33</v>
      </c>
      <c r="D6" s="5" t="s">
        <v>34</v>
      </c>
      <c r="E6" s="6" t="s">
        <v>19</v>
      </c>
      <c r="F6" s="4" t="s">
        <v>35</v>
      </c>
      <c r="G6" s="5" t="s">
        <v>36</v>
      </c>
      <c r="H6" s="4" t="n">
        <v>4</v>
      </c>
      <c r="I6" s="7" t="n">
        <v>350</v>
      </c>
      <c r="J6" s="4" t="n">
        <v>40</v>
      </c>
      <c r="K6" s="4" t="n">
        <v>12</v>
      </c>
      <c r="L6" s="4" t="s">
        <v>37</v>
      </c>
      <c r="M6" s="4" t="s">
        <v>23</v>
      </c>
    </row>
    <row r="7" customFormat="false" ht="15" hidden="false" customHeight="false" outlineLevel="0" collapsed="false">
      <c r="A7" s="8" t="s">
        <v>38</v>
      </c>
      <c r="B7" s="9" t="s">
        <v>39</v>
      </c>
      <c r="C7" s="9" t="s">
        <v>40</v>
      </c>
      <c r="D7" s="9" t="s">
        <v>41</v>
      </c>
      <c r="E7" s="8" t="s">
        <v>42</v>
      </c>
      <c r="F7" s="8" t="s">
        <v>43</v>
      </c>
      <c r="G7" s="9" t="s">
        <v>44</v>
      </c>
      <c r="H7" s="8" t="n">
        <v>1.5</v>
      </c>
      <c r="I7" s="10" t="n">
        <v>80</v>
      </c>
      <c r="J7" s="8" t="n">
        <v>24</v>
      </c>
      <c r="K7" s="8" t="n">
        <v>10</v>
      </c>
      <c r="L7" s="8" t="s">
        <v>45</v>
      </c>
      <c r="M7" s="8" t="s">
        <v>23</v>
      </c>
    </row>
    <row r="8" customFormat="false" ht="15" hidden="false" customHeight="false" outlineLevel="0" collapsed="false">
      <c r="A8" s="4" t="s">
        <v>46</v>
      </c>
      <c r="B8" s="5" t="s">
        <v>47</v>
      </c>
      <c r="C8" s="5" t="s">
        <v>48</v>
      </c>
      <c r="D8" s="5" t="s">
        <v>49</v>
      </c>
      <c r="E8" s="4" t="s">
        <v>42</v>
      </c>
      <c r="F8" s="4" t="s">
        <v>50</v>
      </c>
      <c r="G8" s="5" t="s">
        <v>51</v>
      </c>
      <c r="H8" s="4" t="n">
        <v>2</v>
      </c>
      <c r="I8" s="7" t="n">
        <v>60</v>
      </c>
      <c r="J8" s="4" t="n">
        <v>20</v>
      </c>
      <c r="K8" s="4" t="n">
        <v>14</v>
      </c>
      <c r="L8" s="4" t="s">
        <v>45</v>
      </c>
      <c r="M8" s="4" t="s">
        <v>23</v>
      </c>
    </row>
    <row r="9" customFormat="false" ht="15" hidden="false" customHeight="false" outlineLevel="0" collapsed="false">
      <c r="A9" s="8" t="s">
        <v>52</v>
      </c>
      <c r="B9" s="9" t="s">
        <v>53</v>
      </c>
      <c r="C9" s="9" t="s">
        <v>54</v>
      </c>
      <c r="D9" s="9" t="s">
        <v>55</v>
      </c>
      <c r="E9" s="6" t="s">
        <v>19</v>
      </c>
      <c r="F9" s="8" t="s">
        <v>56</v>
      </c>
      <c r="G9" s="9" t="s">
        <v>57</v>
      </c>
      <c r="H9" s="8" t="n">
        <v>5</v>
      </c>
      <c r="I9" s="10" t="n">
        <v>290</v>
      </c>
      <c r="J9" s="8" t="n">
        <v>35</v>
      </c>
      <c r="K9" s="8" t="n">
        <v>5</v>
      </c>
      <c r="L9" s="8" t="s">
        <v>30</v>
      </c>
      <c r="M9" s="11" t="s">
        <v>58</v>
      </c>
    </row>
    <row r="10" customFormat="false" ht="15" hidden="false" customHeight="false" outlineLevel="0" collapsed="false">
      <c r="A10" s="4" t="s">
        <v>59</v>
      </c>
      <c r="B10" s="5" t="s">
        <v>60</v>
      </c>
      <c r="C10" s="5" t="s">
        <v>61</v>
      </c>
      <c r="D10" s="5" t="s">
        <v>62</v>
      </c>
      <c r="E10" s="4" t="s">
        <v>42</v>
      </c>
      <c r="F10" s="4" t="s">
        <v>63</v>
      </c>
      <c r="G10" s="5" t="s">
        <v>64</v>
      </c>
      <c r="H10" s="4" t="n">
        <v>2</v>
      </c>
      <c r="I10" s="7" t="n">
        <v>110</v>
      </c>
      <c r="J10" s="4" t="n">
        <v>28</v>
      </c>
      <c r="K10" s="4" t="n">
        <v>18</v>
      </c>
      <c r="L10" s="4" t="s">
        <v>22</v>
      </c>
      <c r="M10" s="4" t="s">
        <v>23</v>
      </c>
    </row>
    <row r="11" customFormat="false" ht="15" hidden="false" customHeight="false" outlineLevel="0" collapsed="false">
      <c r="A11" s="8" t="s">
        <v>65</v>
      </c>
      <c r="B11" s="9" t="s">
        <v>66</v>
      </c>
      <c r="C11" s="9" t="s">
        <v>67</v>
      </c>
      <c r="D11" s="9" t="s">
        <v>68</v>
      </c>
      <c r="E11" s="6" t="s">
        <v>19</v>
      </c>
      <c r="F11" s="8" t="s">
        <v>69</v>
      </c>
      <c r="G11" s="9" t="s">
        <v>70</v>
      </c>
      <c r="H11" s="8" t="n">
        <v>2</v>
      </c>
      <c r="I11" s="10" t="n">
        <v>95</v>
      </c>
      <c r="J11" s="8" t="n">
        <v>60</v>
      </c>
      <c r="K11" s="8" t="n">
        <v>22</v>
      </c>
      <c r="L11" s="8" t="s">
        <v>45</v>
      </c>
      <c r="M11" s="8" t="s">
        <v>23</v>
      </c>
    </row>
    <row r="12" customFormat="false" ht="15" hidden="false" customHeight="false" outlineLevel="0" collapsed="false">
      <c r="A12" s="4" t="s">
        <v>71</v>
      </c>
      <c r="B12" s="5" t="s">
        <v>72</v>
      </c>
      <c r="C12" s="5" t="s">
        <v>73</v>
      </c>
      <c r="D12" s="5" t="s">
        <v>74</v>
      </c>
      <c r="E12" s="6" t="s">
        <v>19</v>
      </c>
      <c r="F12" s="4" t="s">
        <v>75</v>
      </c>
      <c r="G12" s="5" t="s">
        <v>76</v>
      </c>
      <c r="H12" s="4" t="n">
        <v>3</v>
      </c>
      <c r="I12" s="7" t="n">
        <v>160</v>
      </c>
      <c r="J12" s="4" t="n">
        <v>32</v>
      </c>
      <c r="K12" s="4" t="n">
        <v>9</v>
      </c>
      <c r="L12" s="4" t="s">
        <v>22</v>
      </c>
      <c r="M12" s="4" t="s">
        <v>23</v>
      </c>
    </row>
    <row r="13" customFormat="false" ht="15" hidden="false" customHeight="false" outlineLevel="0" collapsed="false">
      <c r="A13" s="8" t="s">
        <v>77</v>
      </c>
      <c r="B13" s="9" t="s">
        <v>78</v>
      </c>
      <c r="C13" s="9" t="s">
        <v>79</v>
      </c>
      <c r="D13" s="9" t="s">
        <v>80</v>
      </c>
      <c r="E13" s="6" t="s">
        <v>19</v>
      </c>
      <c r="F13" s="8" t="s">
        <v>81</v>
      </c>
      <c r="G13" s="9" t="s">
        <v>82</v>
      </c>
      <c r="H13" s="8" t="n">
        <v>6</v>
      </c>
      <c r="I13" s="10" t="n">
        <v>480</v>
      </c>
      <c r="J13" s="8" t="n">
        <v>20</v>
      </c>
      <c r="K13" s="8" t="n">
        <v>6</v>
      </c>
      <c r="L13" s="8" t="s">
        <v>37</v>
      </c>
      <c r="M13" s="8" t="s">
        <v>23</v>
      </c>
    </row>
    <row r="14" customFormat="false" ht="15" hidden="false" customHeight="false" outlineLevel="0" collapsed="false">
      <c r="A14" s="4" t="s">
        <v>83</v>
      </c>
      <c r="B14" s="5" t="s">
        <v>84</v>
      </c>
      <c r="C14" s="5" t="s">
        <v>85</v>
      </c>
      <c r="D14" s="5" t="s">
        <v>86</v>
      </c>
      <c r="E14" s="4" t="s">
        <v>42</v>
      </c>
      <c r="F14" s="4" t="s">
        <v>87</v>
      </c>
      <c r="G14" s="5" t="s">
        <v>88</v>
      </c>
      <c r="H14" s="4" t="n">
        <v>2.5</v>
      </c>
      <c r="I14" s="7" t="n">
        <v>130</v>
      </c>
      <c r="J14" s="4" t="n">
        <v>18</v>
      </c>
      <c r="K14" s="4" t="n">
        <v>11</v>
      </c>
      <c r="L14" s="4" t="s">
        <v>22</v>
      </c>
      <c r="M14" s="4" t="s">
        <v>23</v>
      </c>
    </row>
    <row r="15" customFormat="false" ht="15" hidden="false" customHeight="false" outlineLevel="0" collapsed="false">
      <c r="A15" s="8" t="s">
        <v>89</v>
      </c>
      <c r="B15" s="9" t="s">
        <v>90</v>
      </c>
      <c r="C15" s="9" t="s">
        <v>91</v>
      </c>
      <c r="D15" s="9" t="s">
        <v>92</v>
      </c>
      <c r="E15" s="6" t="s">
        <v>19</v>
      </c>
      <c r="F15" s="8" t="s">
        <v>93</v>
      </c>
      <c r="G15" s="9" t="s">
        <v>94</v>
      </c>
      <c r="H15" s="8" t="n">
        <v>4</v>
      </c>
      <c r="I15" s="10" t="n">
        <v>310</v>
      </c>
      <c r="J15" s="8" t="n">
        <v>45</v>
      </c>
      <c r="K15" s="8" t="n">
        <v>14</v>
      </c>
      <c r="L15" s="8" t="s">
        <v>30</v>
      </c>
      <c r="M15" s="8" t="s">
        <v>23</v>
      </c>
    </row>
    <row r="16" customFormat="false" ht="25.5" hidden="false" customHeight="true" outlineLevel="0" collapsed="false">
      <c r="A16" s="12" t="s">
        <v>95</v>
      </c>
      <c r="B16" s="12"/>
      <c r="C16" s="12"/>
      <c r="D16" s="12"/>
      <c r="E16" s="12"/>
      <c r="F16" s="12"/>
      <c r="G16" s="12"/>
      <c r="H16" s="12"/>
      <c r="I16" s="13" t="n">
        <f aca="false">AVERAGE(I4:I15)</f>
        <v>205.416666666667</v>
      </c>
      <c r="J16" s="12" t="n">
        <f aca="false">SUM(J4:J15)</f>
        <v>402</v>
      </c>
      <c r="K16" s="12" t="n">
        <f aca="false">SUM(K4:K15)</f>
        <v>145</v>
      </c>
      <c r="L16" s="12"/>
      <c r="M16" s="1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9.7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12" t="s">
        <v>97</v>
      </c>
      <c r="B3" s="12" t="s">
        <v>98</v>
      </c>
      <c r="C3" s="12" t="s">
        <v>99</v>
      </c>
      <c r="D3" s="12" t="s">
        <v>100</v>
      </c>
      <c r="E3" s="12" t="s">
        <v>101</v>
      </c>
      <c r="F3" s="12" t="s">
        <v>102</v>
      </c>
      <c r="G3" s="12" t="s">
        <v>103</v>
      </c>
      <c r="H3" s="12" t="s">
        <v>104</v>
      </c>
      <c r="I3" s="12" t="s">
        <v>105</v>
      </c>
    </row>
    <row r="4" customFormat="false" ht="15" hidden="false" customHeight="false" outlineLevel="0" collapsed="false">
      <c r="A4" s="4" t="s">
        <v>106</v>
      </c>
      <c r="B4" s="5" t="s">
        <v>107</v>
      </c>
      <c r="C4" s="5" t="s">
        <v>108</v>
      </c>
      <c r="D4" s="5" t="s">
        <v>109</v>
      </c>
      <c r="E4" s="5" t="s">
        <v>110</v>
      </c>
      <c r="F4" s="5" t="s">
        <v>111</v>
      </c>
      <c r="G4" s="4" t="s">
        <v>112</v>
      </c>
      <c r="H4" s="4" t="n">
        <v>4</v>
      </c>
      <c r="I4" s="14" t="n">
        <v>78</v>
      </c>
    </row>
    <row r="5" customFormat="false" ht="15" hidden="false" customHeight="false" outlineLevel="0" collapsed="false">
      <c r="A5" s="8" t="s">
        <v>113</v>
      </c>
      <c r="B5" s="9" t="s">
        <v>114</v>
      </c>
      <c r="C5" s="9" t="s">
        <v>115</v>
      </c>
      <c r="D5" s="9" t="s">
        <v>116</v>
      </c>
      <c r="E5" s="9" t="s">
        <v>117</v>
      </c>
      <c r="F5" s="9" t="s">
        <v>118</v>
      </c>
      <c r="G5" s="8" t="s">
        <v>119</v>
      </c>
      <c r="H5" s="8" t="n">
        <v>2</v>
      </c>
      <c r="I5" s="14" t="n">
        <v>82</v>
      </c>
    </row>
    <row r="6" customFormat="false" ht="15" hidden="false" customHeight="false" outlineLevel="0" collapsed="false">
      <c r="A6" s="4" t="s">
        <v>120</v>
      </c>
      <c r="B6" s="5" t="s">
        <v>121</v>
      </c>
      <c r="C6" s="5" t="s">
        <v>122</v>
      </c>
      <c r="D6" s="5" t="s">
        <v>123</v>
      </c>
      <c r="E6" s="5" t="s">
        <v>124</v>
      </c>
      <c r="F6" s="5" t="s">
        <v>125</v>
      </c>
      <c r="G6" s="4" t="s">
        <v>126</v>
      </c>
      <c r="H6" s="4" t="n">
        <v>6</v>
      </c>
      <c r="I6" s="15" t="n">
        <v>91</v>
      </c>
    </row>
    <row r="7" customFormat="false" ht="15" hidden="false" customHeight="false" outlineLevel="0" collapsed="false">
      <c r="A7" s="8" t="s">
        <v>127</v>
      </c>
      <c r="B7" s="9" t="s">
        <v>128</v>
      </c>
      <c r="C7" s="9" t="s">
        <v>129</v>
      </c>
      <c r="D7" s="9" t="s">
        <v>130</v>
      </c>
      <c r="E7" s="9" t="s">
        <v>131</v>
      </c>
      <c r="F7" s="9" t="s">
        <v>132</v>
      </c>
      <c r="G7" s="8" t="s">
        <v>133</v>
      </c>
      <c r="H7" s="8" t="n">
        <v>3</v>
      </c>
      <c r="I7" s="14" t="n">
        <v>74</v>
      </c>
    </row>
    <row r="8" customFormat="false" ht="15" hidden="false" customHeight="false" outlineLevel="0" collapsed="false">
      <c r="A8" s="4" t="s">
        <v>134</v>
      </c>
      <c r="B8" s="5" t="s">
        <v>135</v>
      </c>
      <c r="C8" s="5" t="s">
        <v>136</v>
      </c>
      <c r="D8" s="5" t="s">
        <v>137</v>
      </c>
      <c r="E8" s="5" t="s">
        <v>138</v>
      </c>
      <c r="F8" s="5" t="s">
        <v>54</v>
      </c>
      <c r="G8" s="4" t="s">
        <v>139</v>
      </c>
      <c r="H8" s="4" t="n">
        <v>1</v>
      </c>
      <c r="I8" s="4" t="n">
        <v>68</v>
      </c>
    </row>
    <row r="9" customFormat="false" ht="15" hidden="false" customHeight="false" outlineLevel="0" collapsed="false">
      <c r="A9" s="8" t="s">
        <v>140</v>
      </c>
      <c r="B9" s="9" t="s">
        <v>141</v>
      </c>
      <c r="C9" s="9" t="s">
        <v>142</v>
      </c>
      <c r="D9" s="9" t="s">
        <v>143</v>
      </c>
      <c r="E9" s="9" t="s">
        <v>144</v>
      </c>
      <c r="F9" s="9" t="s">
        <v>145</v>
      </c>
      <c r="G9" s="8" t="s">
        <v>146</v>
      </c>
      <c r="H9" s="8" t="n">
        <v>5</v>
      </c>
      <c r="I9" s="15" t="n">
        <v>85</v>
      </c>
    </row>
    <row r="10" customFormat="false" ht="15" hidden="false" customHeight="false" outlineLevel="0" collapsed="false">
      <c r="A10" s="4" t="s">
        <v>147</v>
      </c>
      <c r="B10" s="5" t="s">
        <v>148</v>
      </c>
      <c r="C10" s="5" t="s">
        <v>149</v>
      </c>
      <c r="D10" s="5" t="s">
        <v>150</v>
      </c>
      <c r="E10" s="5" t="s">
        <v>151</v>
      </c>
      <c r="F10" s="5" t="s">
        <v>152</v>
      </c>
      <c r="G10" s="4" t="s">
        <v>153</v>
      </c>
      <c r="H10" s="4" t="n">
        <v>3</v>
      </c>
      <c r="I10" s="14" t="n">
        <v>72</v>
      </c>
    </row>
    <row r="11" customFormat="false" ht="15" hidden="false" customHeight="false" outlineLevel="0" collapsed="false">
      <c r="A11" s="8" t="s">
        <v>154</v>
      </c>
      <c r="B11" s="9" t="s">
        <v>155</v>
      </c>
      <c r="C11" s="9" t="s">
        <v>156</v>
      </c>
      <c r="D11" s="9" t="s">
        <v>157</v>
      </c>
      <c r="E11" s="9" t="s">
        <v>158</v>
      </c>
      <c r="F11" s="9" t="s">
        <v>159</v>
      </c>
      <c r="G11" s="8" t="s">
        <v>160</v>
      </c>
      <c r="H11" s="8" t="n">
        <v>7</v>
      </c>
      <c r="I11" s="15" t="n">
        <v>88</v>
      </c>
    </row>
    <row r="12" customFormat="false" ht="15" hidden="false" customHeight="false" outlineLevel="0" collapsed="false">
      <c r="A12" s="4" t="s">
        <v>161</v>
      </c>
      <c r="B12" s="5" t="s">
        <v>162</v>
      </c>
      <c r="C12" s="5" t="s">
        <v>163</v>
      </c>
      <c r="D12" s="5" t="s">
        <v>164</v>
      </c>
      <c r="E12" s="5" t="s">
        <v>165</v>
      </c>
      <c r="F12" s="5" t="s">
        <v>166</v>
      </c>
      <c r="G12" s="4" t="s">
        <v>167</v>
      </c>
      <c r="H12" s="4" t="n">
        <v>2</v>
      </c>
      <c r="I12" s="15" t="n">
        <v>93</v>
      </c>
    </row>
    <row r="13" customFormat="false" ht="15" hidden="false" customHeight="false" outlineLevel="0" collapsed="false">
      <c r="A13" s="8" t="s">
        <v>168</v>
      </c>
      <c r="B13" s="9" t="s">
        <v>169</v>
      </c>
      <c r="C13" s="9" t="s">
        <v>170</v>
      </c>
      <c r="D13" s="9" t="s">
        <v>171</v>
      </c>
      <c r="E13" s="9" t="s">
        <v>172</v>
      </c>
      <c r="F13" s="9" t="s">
        <v>85</v>
      </c>
      <c r="G13" s="8" t="s">
        <v>173</v>
      </c>
      <c r="H13" s="8" t="n">
        <v>1</v>
      </c>
      <c r="I13" s="8" t="n">
        <v>65</v>
      </c>
    </row>
    <row r="14" customFormat="false" ht="15" hidden="false" customHeight="false" outlineLevel="0" collapsed="false">
      <c r="A14" s="4" t="s">
        <v>174</v>
      </c>
      <c r="B14" s="5" t="s">
        <v>175</v>
      </c>
      <c r="C14" s="5" t="s">
        <v>176</v>
      </c>
      <c r="D14" s="5" t="s">
        <v>177</v>
      </c>
      <c r="E14" s="5" t="s">
        <v>178</v>
      </c>
      <c r="F14" s="5" t="s">
        <v>179</v>
      </c>
      <c r="G14" s="4" t="s">
        <v>180</v>
      </c>
      <c r="H14" s="4" t="n">
        <v>4</v>
      </c>
      <c r="I14" s="14" t="n">
        <v>79</v>
      </c>
    </row>
    <row r="15" customFormat="false" ht="15" hidden="false" customHeight="false" outlineLevel="0" collapsed="false">
      <c r="A15" s="8" t="s">
        <v>181</v>
      </c>
      <c r="B15" s="9" t="s">
        <v>182</v>
      </c>
      <c r="C15" s="9" t="s">
        <v>183</v>
      </c>
      <c r="D15" s="9" t="s">
        <v>184</v>
      </c>
      <c r="E15" s="9" t="s">
        <v>185</v>
      </c>
      <c r="F15" s="9" t="s">
        <v>186</v>
      </c>
      <c r="G15" s="8" t="s">
        <v>187</v>
      </c>
      <c r="H15" s="8" t="n">
        <v>2</v>
      </c>
      <c r="I15" s="14" t="n">
        <v>81</v>
      </c>
    </row>
    <row r="16" customFormat="false" ht="15" hidden="false" customHeight="false" outlineLevel="0" collapsed="false">
      <c r="A16" s="4" t="s">
        <v>188</v>
      </c>
      <c r="B16" s="5" t="s">
        <v>189</v>
      </c>
      <c r="C16" s="5" t="s">
        <v>190</v>
      </c>
      <c r="D16" s="5" t="s">
        <v>191</v>
      </c>
      <c r="E16" s="5" t="s">
        <v>192</v>
      </c>
      <c r="F16" s="5" t="s">
        <v>61</v>
      </c>
      <c r="G16" s="4" t="s">
        <v>193</v>
      </c>
      <c r="H16" s="4" t="n">
        <v>3</v>
      </c>
      <c r="I16" s="14" t="n">
        <v>76</v>
      </c>
    </row>
    <row r="17" customFormat="false" ht="15" hidden="false" customHeight="false" outlineLevel="0" collapsed="false">
      <c r="A17" s="8" t="s">
        <v>194</v>
      </c>
      <c r="B17" s="9" t="s">
        <v>195</v>
      </c>
      <c r="C17" s="9" t="s">
        <v>196</v>
      </c>
      <c r="D17" s="9" t="s">
        <v>197</v>
      </c>
      <c r="E17" s="9" t="s">
        <v>198</v>
      </c>
      <c r="F17" s="9" t="s">
        <v>159</v>
      </c>
      <c r="G17" s="8" t="s">
        <v>199</v>
      </c>
      <c r="H17" s="8" t="n">
        <v>1</v>
      </c>
      <c r="I17" s="14" t="n">
        <v>70</v>
      </c>
    </row>
    <row r="18" customFormat="false" ht="15" hidden="false" customHeight="false" outlineLevel="0" collapsed="false">
      <c r="A18" s="4" t="s">
        <v>200</v>
      </c>
      <c r="B18" s="5" t="s">
        <v>201</v>
      </c>
      <c r="C18" s="5" t="s">
        <v>202</v>
      </c>
      <c r="D18" s="5" t="s">
        <v>203</v>
      </c>
      <c r="E18" s="5" t="s">
        <v>204</v>
      </c>
      <c r="F18" s="5" t="s">
        <v>205</v>
      </c>
      <c r="G18" s="4" t="s">
        <v>206</v>
      </c>
      <c r="H18" s="4" t="n">
        <v>0</v>
      </c>
      <c r="I18" s="16" t="n">
        <v>0</v>
      </c>
    </row>
    <row r="19" customFormat="false" ht="25.5" hidden="false" customHeight="true" outlineLevel="0" collapsed="false">
      <c r="A19" s="12" t="s">
        <v>95</v>
      </c>
      <c r="B19" s="12"/>
      <c r="C19" s="12"/>
      <c r="D19" s="12"/>
      <c r="E19" s="12"/>
      <c r="F19" s="12"/>
      <c r="G19" s="12"/>
      <c r="H19" s="12" t="n">
        <f aca="false">SUM(H4:H18)</f>
        <v>44</v>
      </c>
      <c r="I19" s="17" t="n">
        <f aca="false">AVERAGEIF(I4:I18,"&gt;0")</f>
        <v>78.7142857142857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9" min="8" style="0" width="12"/>
  </cols>
  <sheetData>
    <row r="1" customFormat="false" ht="39.75" hidden="false" customHeight="true" outlineLevel="0" collapsed="false">
      <c r="A1" s="1" t="s">
        <v>207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208</v>
      </c>
      <c r="B3" s="3" t="s">
        <v>209</v>
      </c>
      <c r="C3" s="3" t="s">
        <v>210</v>
      </c>
      <c r="D3" s="3" t="s">
        <v>211</v>
      </c>
      <c r="E3" s="3" t="s">
        <v>212</v>
      </c>
      <c r="F3" s="3" t="s">
        <v>213</v>
      </c>
      <c r="G3" s="3" t="s">
        <v>214</v>
      </c>
      <c r="H3" s="3" t="s">
        <v>215</v>
      </c>
      <c r="I3" s="3" t="s">
        <v>14</v>
      </c>
    </row>
    <row r="4" customFormat="false" ht="15" hidden="false" customHeight="false" outlineLevel="0" collapsed="false">
      <c r="A4" s="4" t="s">
        <v>216</v>
      </c>
      <c r="B4" s="4" t="s">
        <v>217</v>
      </c>
      <c r="C4" s="5" t="s">
        <v>218</v>
      </c>
      <c r="D4" s="5" t="s">
        <v>16</v>
      </c>
      <c r="E4" s="4" t="s">
        <v>219</v>
      </c>
      <c r="F4" s="4" t="n">
        <v>2</v>
      </c>
      <c r="G4" s="18" t="n">
        <v>360</v>
      </c>
      <c r="H4" s="18" t="n">
        <v>18</v>
      </c>
      <c r="I4" s="15" t="s">
        <v>220</v>
      </c>
    </row>
    <row r="5" customFormat="false" ht="15" hidden="false" customHeight="false" outlineLevel="0" collapsed="false">
      <c r="A5" s="8" t="s">
        <v>221</v>
      </c>
      <c r="B5" s="8" t="s">
        <v>222</v>
      </c>
      <c r="C5" s="9" t="s">
        <v>223</v>
      </c>
      <c r="D5" s="9" t="s">
        <v>32</v>
      </c>
      <c r="E5" s="8" t="s">
        <v>173</v>
      </c>
      <c r="F5" s="8" t="n">
        <v>1</v>
      </c>
      <c r="G5" s="19" t="n">
        <v>350</v>
      </c>
      <c r="H5" s="19" t="n">
        <v>17.5</v>
      </c>
      <c r="I5" s="15" t="s">
        <v>220</v>
      </c>
    </row>
    <row r="6" customFormat="false" ht="15" hidden="false" customHeight="false" outlineLevel="0" collapsed="false">
      <c r="A6" s="4" t="s">
        <v>224</v>
      </c>
      <c r="B6" s="4" t="s">
        <v>225</v>
      </c>
      <c r="C6" s="5" t="s">
        <v>226</v>
      </c>
      <c r="D6" s="5" t="s">
        <v>39</v>
      </c>
      <c r="E6" s="4" t="s">
        <v>227</v>
      </c>
      <c r="F6" s="4" t="n">
        <v>3</v>
      </c>
      <c r="G6" s="18" t="n">
        <v>240</v>
      </c>
      <c r="H6" s="18" t="n">
        <v>12</v>
      </c>
      <c r="I6" s="15" t="s">
        <v>220</v>
      </c>
    </row>
    <row r="7" customFormat="false" ht="15" hidden="false" customHeight="false" outlineLevel="0" collapsed="false">
      <c r="A7" s="8" t="s">
        <v>228</v>
      </c>
      <c r="B7" s="8" t="s">
        <v>229</v>
      </c>
      <c r="C7" s="9" t="s">
        <v>230</v>
      </c>
      <c r="D7" s="9" t="s">
        <v>25</v>
      </c>
      <c r="E7" s="8" t="s">
        <v>231</v>
      </c>
      <c r="F7" s="8" t="n">
        <v>1</v>
      </c>
      <c r="G7" s="19" t="n">
        <v>220</v>
      </c>
      <c r="H7" s="19" t="n">
        <v>11</v>
      </c>
      <c r="I7" s="15" t="s">
        <v>220</v>
      </c>
    </row>
    <row r="8" customFormat="false" ht="15" hidden="false" customHeight="false" outlineLevel="0" collapsed="false">
      <c r="A8" s="4" t="s">
        <v>232</v>
      </c>
      <c r="B8" s="4" t="s">
        <v>233</v>
      </c>
      <c r="C8" s="5" t="s">
        <v>234</v>
      </c>
      <c r="D8" s="5" t="s">
        <v>66</v>
      </c>
      <c r="E8" s="4" t="s">
        <v>235</v>
      </c>
      <c r="F8" s="4" t="n">
        <v>2</v>
      </c>
      <c r="G8" s="18" t="n">
        <v>190</v>
      </c>
      <c r="H8" s="18" t="n">
        <v>9.5</v>
      </c>
      <c r="I8" s="15" t="s">
        <v>220</v>
      </c>
    </row>
    <row r="9" customFormat="false" ht="15" hidden="false" customHeight="false" outlineLevel="0" collapsed="false">
      <c r="A9" s="8" t="s">
        <v>236</v>
      </c>
      <c r="B9" s="8" t="s">
        <v>237</v>
      </c>
      <c r="C9" s="9" t="s">
        <v>238</v>
      </c>
      <c r="D9" s="9" t="s">
        <v>78</v>
      </c>
      <c r="E9" s="8" t="s">
        <v>239</v>
      </c>
      <c r="F9" s="8" t="n">
        <v>1</v>
      </c>
      <c r="G9" s="19" t="n">
        <v>480</v>
      </c>
      <c r="H9" s="19" t="n">
        <v>24</v>
      </c>
      <c r="I9" s="15" t="s">
        <v>220</v>
      </c>
    </row>
    <row r="10" customFormat="false" ht="15" hidden="false" customHeight="false" outlineLevel="0" collapsed="false">
      <c r="A10" s="4" t="s">
        <v>240</v>
      </c>
      <c r="B10" s="4" t="s">
        <v>241</v>
      </c>
      <c r="C10" s="5" t="s">
        <v>242</v>
      </c>
      <c r="D10" s="5" t="s">
        <v>53</v>
      </c>
      <c r="E10" s="4" t="s">
        <v>243</v>
      </c>
      <c r="F10" s="4" t="n">
        <v>1</v>
      </c>
      <c r="G10" s="18" t="n">
        <v>290</v>
      </c>
      <c r="H10" s="18" t="n">
        <v>14.5</v>
      </c>
      <c r="I10" s="15" t="s">
        <v>220</v>
      </c>
    </row>
    <row r="11" customFormat="false" ht="15" hidden="false" customHeight="false" outlineLevel="0" collapsed="false">
      <c r="A11" s="8" t="s">
        <v>244</v>
      </c>
      <c r="B11" s="8" t="s">
        <v>245</v>
      </c>
      <c r="C11" s="9" t="s">
        <v>246</v>
      </c>
      <c r="D11" s="9" t="s">
        <v>47</v>
      </c>
      <c r="E11" s="8" t="s">
        <v>193</v>
      </c>
      <c r="F11" s="8" t="n">
        <v>2</v>
      </c>
      <c r="G11" s="19" t="n">
        <v>120</v>
      </c>
      <c r="H11" s="19" t="n">
        <v>6</v>
      </c>
      <c r="I11" s="15" t="s">
        <v>220</v>
      </c>
    </row>
    <row r="12" customFormat="false" ht="15" hidden="false" customHeight="false" outlineLevel="0" collapsed="false">
      <c r="A12" s="4" t="s">
        <v>247</v>
      </c>
      <c r="B12" s="4" t="s">
        <v>248</v>
      </c>
      <c r="C12" s="5" t="s">
        <v>249</v>
      </c>
      <c r="D12" s="5" t="s">
        <v>72</v>
      </c>
      <c r="E12" s="4" t="s">
        <v>250</v>
      </c>
      <c r="F12" s="4" t="n">
        <v>2</v>
      </c>
      <c r="G12" s="18" t="n">
        <v>320</v>
      </c>
      <c r="H12" s="18" t="n">
        <v>16</v>
      </c>
      <c r="I12" s="15" t="s">
        <v>220</v>
      </c>
    </row>
    <row r="13" customFormat="false" ht="15" hidden="false" customHeight="false" outlineLevel="0" collapsed="false">
      <c r="A13" s="8" t="s">
        <v>251</v>
      </c>
      <c r="B13" s="8" t="s">
        <v>252</v>
      </c>
      <c r="C13" s="9" t="s">
        <v>253</v>
      </c>
      <c r="D13" s="9" t="s">
        <v>60</v>
      </c>
      <c r="E13" s="8" t="s">
        <v>254</v>
      </c>
      <c r="F13" s="8" t="n">
        <v>1</v>
      </c>
      <c r="G13" s="19" t="n">
        <v>110</v>
      </c>
      <c r="H13" s="19" t="n">
        <v>5.5</v>
      </c>
      <c r="I13" s="15" t="s">
        <v>220</v>
      </c>
    </row>
    <row r="14" customFormat="false" ht="15" hidden="false" customHeight="false" outlineLevel="0" collapsed="false">
      <c r="A14" s="4" t="s">
        <v>255</v>
      </c>
      <c r="B14" s="4" t="s">
        <v>256</v>
      </c>
      <c r="C14" s="5" t="s">
        <v>257</v>
      </c>
      <c r="D14" s="5" t="s">
        <v>39</v>
      </c>
      <c r="E14" s="4" t="s">
        <v>258</v>
      </c>
      <c r="F14" s="4" t="n">
        <v>1</v>
      </c>
      <c r="G14" s="18" t="n">
        <v>80</v>
      </c>
      <c r="H14" s="18" t="n">
        <v>4</v>
      </c>
      <c r="I14" s="15" t="s">
        <v>220</v>
      </c>
    </row>
    <row r="15" customFormat="false" ht="15" hidden="false" customHeight="false" outlineLevel="0" collapsed="false">
      <c r="A15" s="8" t="s">
        <v>259</v>
      </c>
      <c r="B15" s="8" t="s">
        <v>260</v>
      </c>
      <c r="C15" s="9" t="s">
        <v>261</v>
      </c>
      <c r="D15" s="9" t="s">
        <v>60</v>
      </c>
      <c r="E15" s="8" t="s">
        <v>199</v>
      </c>
      <c r="F15" s="8" t="n">
        <v>3</v>
      </c>
      <c r="G15" s="19" t="n">
        <v>330</v>
      </c>
      <c r="H15" s="19" t="n">
        <v>16.5</v>
      </c>
      <c r="I15" s="15" t="s">
        <v>220</v>
      </c>
    </row>
    <row r="16" customFormat="false" ht="15" hidden="false" customHeight="false" outlineLevel="0" collapsed="false">
      <c r="A16" s="4" t="s">
        <v>262</v>
      </c>
      <c r="B16" s="4" t="s">
        <v>263</v>
      </c>
      <c r="C16" s="5" t="s">
        <v>264</v>
      </c>
      <c r="D16" s="5" t="s">
        <v>84</v>
      </c>
      <c r="E16" s="4" t="s">
        <v>265</v>
      </c>
      <c r="F16" s="4" t="n">
        <v>1</v>
      </c>
      <c r="G16" s="18" t="n">
        <v>130</v>
      </c>
      <c r="H16" s="18" t="n">
        <v>6.5</v>
      </c>
      <c r="I16" s="15" t="s">
        <v>220</v>
      </c>
    </row>
    <row r="17" customFormat="false" ht="15" hidden="false" customHeight="false" outlineLevel="0" collapsed="false">
      <c r="A17" s="8" t="s">
        <v>266</v>
      </c>
      <c r="B17" s="8" t="s">
        <v>267</v>
      </c>
      <c r="C17" s="9" t="s">
        <v>268</v>
      </c>
      <c r="D17" s="9" t="s">
        <v>66</v>
      </c>
      <c r="E17" s="8" t="s">
        <v>269</v>
      </c>
      <c r="F17" s="8" t="n">
        <v>1</v>
      </c>
      <c r="G17" s="19" t="n">
        <v>95</v>
      </c>
      <c r="H17" s="19" t="n">
        <v>4.75</v>
      </c>
      <c r="I17" s="15" t="s">
        <v>220</v>
      </c>
    </row>
    <row r="18" customFormat="false" ht="15" hidden="false" customHeight="false" outlineLevel="0" collapsed="false">
      <c r="A18" s="4" t="s">
        <v>270</v>
      </c>
      <c r="B18" s="4" t="s">
        <v>271</v>
      </c>
      <c r="C18" s="5" t="s">
        <v>218</v>
      </c>
      <c r="D18" s="5" t="s">
        <v>53</v>
      </c>
      <c r="E18" s="4" t="s">
        <v>206</v>
      </c>
      <c r="F18" s="4" t="n">
        <v>1</v>
      </c>
      <c r="G18" s="18" t="n">
        <v>290</v>
      </c>
      <c r="H18" s="18" t="n">
        <v>14.5</v>
      </c>
      <c r="I18" s="20" t="s">
        <v>272</v>
      </c>
    </row>
    <row r="19" customFormat="false" ht="25.5" hidden="false" customHeight="true" outlineLevel="0" collapsed="false">
      <c r="A19" s="12" t="s">
        <v>273</v>
      </c>
      <c r="B19" s="12"/>
      <c r="C19" s="12"/>
      <c r="D19" s="12"/>
      <c r="E19" s="12"/>
      <c r="F19" s="12" t="n">
        <f aca="false">SUM(F4:F18)</f>
        <v>23</v>
      </c>
      <c r="G19" s="21" t="n">
        <f aca="false">SUM(G4:G18)</f>
        <v>3605</v>
      </c>
      <c r="H19" s="21" t="n">
        <f aca="false">SUM(H4:H18)</f>
        <v>180.25</v>
      </c>
      <c r="I19" s="12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42"/>
  </cols>
  <sheetData>
    <row r="1" customFormat="false" ht="39.75" hidden="false" customHeight="true" outlineLevel="0" collapsed="false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275</v>
      </c>
      <c r="B3" s="3" t="s">
        <v>210</v>
      </c>
      <c r="C3" s="3" t="s">
        <v>211</v>
      </c>
      <c r="D3" s="3" t="s">
        <v>7</v>
      </c>
      <c r="E3" s="3" t="s">
        <v>276</v>
      </c>
      <c r="F3" s="3" t="s">
        <v>277</v>
      </c>
      <c r="G3" s="3" t="s">
        <v>278</v>
      </c>
      <c r="H3" s="3" t="s">
        <v>279</v>
      </c>
      <c r="I3" s="3" t="s">
        <v>280</v>
      </c>
      <c r="J3" s="3" t="s">
        <v>281</v>
      </c>
      <c r="K3" s="3" t="s">
        <v>282</v>
      </c>
    </row>
    <row r="4" customFormat="false" ht="15" hidden="false" customHeight="false" outlineLevel="0" collapsed="false">
      <c r="A4" s="4" t="s">
        <v>283</v>
      </c>
      <c r="B4" s="5" t="s">
        <v>218</v>
      </c>
      <c r="C4" s="5" t="s">
        <v>16</v>
      </c>
      <c r="D4" s="4" t="s">
        <v>20</v>
      </c>
      <c r="E4" s="4" t="n">
        <v>142</v>
      </c>
      <c r="F4" s="4" t="n">
        <v>168</v>
      </c>
      <c r="G4" s="4" t="n">
        <v>780</v>
      </c>
      <c r="H4" s="4" t="n">
        <v>6.4</v>
      </c>
      <c r="I4" s="4" t="n">
        <v>180</v>
      </c>
      <c r="J4" s="14" t="n">
        <v>78</v>
      </c>
      <c r="K4" s="5" t="s">
        <v>284</v>
      </c>
    </row>
    <row r="5" customFormat="false" ht="23.85" hidden="false" customHeight="false" outlineLevel="0" collapsed="false">
      <c r="A5" s="8" t="s">
        <v>285</v>
      </c>
      <c r="B5" s="9" t="s">
        <v>223</v>
      </c>
      <c r="C5" s="9" t="s">
        <v>32</v>
      </c>
      <c r="D5" s="8" t="s">
        <v>35</v>
      </c>
      <c r="E5" s="8" t="n">
        <v>138</v>
      </c>
      <c r="F5" s="8" t="n">
        <v>162</v>
      </c>
      <c r="G5" s="8" t="n">
        <v>920</v>
      </c>
      <c r="H5" s="8" t="n">
        <v>4.2</v>
      </c>
      <c r="I5" s="8" t="n">
        <v>240</v>
      </c>
      <c r="J5" s="15" t="n">
        <v>85</v>
      </c>
      <c r="K5" s="9" t="s">
        <v>286</v>
      </c>
    </row>
    <row r="6" customFormat="false" ht="15" hidden="false" customHeight="false" outlineLevel="0" collapsed="false">
      <c r="A6" s="4" t="s">
        <v>287</v>
      </c>
      <c r="B6" s="5" t="s">
        <v>226</v>
      </c>
      <c r="C6" s="5" t="s">
        <v>39</v>
      </c>
      <c r="D6" s="4" t="s">
        <v>43</v>
      </c>
      <c r="E6" s="4" t="n">
        <v>125</v>
      </c>
      <c r="F6" s="4" t="n">
        <v>148</v>
      </c>
      <c r="G6" s="4" t="n">
        <v>410</v>
      </c>
      <c r="H6" s="4" t="n">
        <v>2.8</v>
      </c>
      <c r="I6" s="4" t="n">
        <v>90</v>
      </c>
      <c r="J6" s="15" t="n">
        <v>91</v>
      </c>
      <c r="K6" s="5" t="s">
        <v>288</v>
      </c>
    </row>
    <row r="7" customFormat="false" ht="23.85" hidden="false" customHeight="false" outlineLevel="0" collapsed="false">
      <c r="A7" s="8" t="s">
        <v>289</v>
      </c>
      <c r="B7" s="9" t="s">
        <v>230</v>
      </c>
      <c r="C7" s="9" t="s">
        <v>25</v>
      </c>
      <c r="D7" s="8" t="s">
        <v>28</v>
      </c>
      <c r="E7" s="8" t="n">
        <v>131</v>
      </c>
      <c r="F7" s="8" t="n">
        <v>155</v>
      </c>
      <c r="G7" s="8" t="n">
        <v>550</v>
      </c>
      <c r="H7" s="8" t="n">
        <v>3.5</v>
      </c>
      <c r="I7" s="8" t="n">
        <v>120</v>
      </c>
      <c r="J7" s="14" t="n">
        <v>82</v>
      </c>
      <c r="K7" s="9" t="s">
        <v>290</v>
      </c>
    </row>
    <row r="8" customFormat="false" ht="15" hidden="false" customHeight="false" outlineLevel="0" collapsed="false">
      <c r="A8" s="4" t="s">
        <v>291</v>
      </c>
      <c r="B8" s="5" t="s">
        <v>234</v>
      </c>
      <c r="C8" s="5" t="s">
        <v>66</v>
      </c>
      <c r="D8" s="4" t="s">
        <v>69</v>
      </c>
      <c r="E8" s="4" t="n">
        <v>148</v>
      </c>
      <c r="F8" s="4" t="n">
        <v>171</v>
      </c>
      <c r="G8" s="4" t="n">
        <v>680</v>
      </c>
      <c r="H8" s="4" t="n">
        <v>8.5</v>
      </c>
      <c r="I8" s="4" t="n">
        <v>105</v>
      </c>
      <c r="J8" s="15" t="n">
        <v>88</v>
      </c>
      <c r="K8" s="5" t="s">
        <v>292</v>
      </c>
    </row>
    <row r="9" customFormat="false" ht="15" hidden="false" customHeight="false" outlineLevel="0" collapsed="false">
      <c r="A9" s="8" t="s">
        <v>293</v>
      </c>
      <c r="B9" s="9" t="s">
        <v>238</v>
      </c>
      <c r="C9" s="9" t="s">
        <v>78</v>
      </c>
      <c r="D9" s="8" t="s">
        <v>81</v>
      </c>
      <c r="E9" s="8" t="n">
        <v>155</v>
      </c>
      <c r="F9" s="8" t="n">
        <v>178</v>
      </c>
      <c r="G9" s="8" t="n">
        <v>1050</v>
      </c>
      <c r="H9" s="8" t="n">
        <v>14.2</v>
      </c>
      <c r="I9" s="8" t="n">
        <v>360</v>
      </c>
      <c r="J9" s="15" t="n">
        <v>93</v>
      </c>
      <c r="K9" s="9" t="s">
        <v>294</v>
      </c>
    </row>
    <row r="10" customFormat="false" ht="15" hidden="false" customHeight="false" outlineLevel="0" collapsed="false">
      <c r="A10" s="4" t="s">
        <v>295</v>
      </c>
      <c r="B10" s="5" t="s">
        <v>242</v>
      </c>
      <c r="C10" s="5" t="s">
        <v>53</v>
      </c>
      <c r="D10" s="4" t="s">
        <v>56</v>
      </c>
      <c r="E10" s="4" t="n">
        <v>141</v>
      </c>
      <c r="F10" s="4" t="n">
        <v>166</v>
      </c>
      <c r="G10" s="4" t="n">
        <v>890</v>
      </c>
      <c r="H10" s="4" t="n">
        <v>48</v>
      </c>
      <c r="I10" s="4" t="n">
        <v>300</v>
      </c>
      <c r="J10" s="22" t="n">
        <v>68</v>
      </c>
      <c r="K10" s="5" t="s">
        <v>296</v>
      </c>
    </row>
    <row r="11" customFormat="false" ht="23.85" hidden="false" customHeight="false" outlineLevel="0" collapsed="false">
      <c r="A11" s="8" t="s">
        <v>297</v>
      </c>
      <c r="B11" s="9" t="s">
        <v>246</v>
      </c>
      <c r="C11" s="9" t="s">
        <v>47</v>
      </c>
      <c r="D11" s="8" t="s">
        <v>50</v>
      </c>
      <c r="E11" s="8" t="n">
        <v>98</v>
      </c>
      <c r="F11" s="8" t="n">
        <v>114</v>
      </c>
      <c r="G11" s="8" t="n">
        <v>320</v>
      </c>
      <c r="H11" s="8" t="n">
        <v>0</v>
      </c>
      <c r="I11" s="8" t="n">
        <v>120</v>
      </c>
      <c r="J11" s="22" t="n">
        <v>74</v>
      </c>
      <c r="K11" s="9" t="s">
        <v>298</v>
      </c>
    </row>
    <row r="12" customFormat="false" ht="15" hidden="false" customHeight="false" outlineLevel="0" collapsed="false">
      <c r="A12" s="4" t="s">
        <v>299</v>
      </c>
      <c r="B12" s="5" t="s">
        <v>249</v>
      </c>
      <c r="C12" s="5" t="s">
        <v>72</v>
      </c>
      <c r="D12" s="4" t="s">
        <v>75</v>
      </c>
      <c r="E12" s="4" t="n">
        <v>144</v>
      </c>
      <c r="F12" s="4" t="n">
        <v>170</v>
      </c>
      <c r="G12" s="4" t="n">
        <v>620</v>
      </c>
      <c r="H12" s="4" t="n">
        <v>4.1</v>
      </c>
      <c r="I12" s="4" t="n">
        <v>180</v>
      </c>
      <c r="J12" s="22" t="n">
        <v>72</v>
      </c>
      <c r="K12" s="5" t="s">
        <v>300</v>
      </c>
    </row>
    <row r="13" customFormat="false" ht="23.85" hidden="false" customHeight="false" outlineLevel="0" collapsed="false">
      <c r="A13" s="8" t="s">
        <v>301</v>
      </c>
      <c r="B13" s="9" t="s">
        <v>253</v>
      </c>
      <c r="C13" s="9" t="s">
        <v>60</v>
      </c>
      <c r="D13" s="8" t="s">
        <v>63</v>
      </c>
      <c r="E13" s="8" t="n">
        <v>160</v>
      </c>
      <c r="F13" s="8" t="n">
        <v>182</v>
      </c>
      <c r="G13" s="8" t="n">
        <v>850</v>
      </c>
      <c r="H13" s="8" t="n">
        <v>2.2</v>
      </c>
      <c r="I13" s="8" t="n">
        <v>120</v>
      </c>
      <c r="J13" s="14" t="n">
        <v>79</v>
      </c>
      <c r="K13" s="9" t="s">
        <v>302</v>
      </c>
    </row>
    <row r="14" customFormat="false" ht="25.5" hidden="false" customHeight="true" outlineLevel="0" collapsed="false">
      <c r="A14" s="12" t="s">
        <v>303</v>
      </c>
      <c r="B14" s="12"/>
      <c r="C14" s="12"/>
      <c r="D14" s="12"/>
      <c r="E14" s="12" t="n">
        <f aca="false">AVERAGE(E4:E13)</f>
        <v>138.2</v>
      </c>
      <c r="F14" s="12" t="n">
        <f aca="false">AVERAGE(F4:F13)</f>
        <v>161.4</v>
      </c>
      <c r="G14" s="12" t="n">
        <f aca="false">AVERAGE(G4:G13)</f>
        <v>707</v>
      </c>
      <c r="H14" s="12" t="n">
        <f aca="false">AVERAGE(H4:H13)</f>
        <v>9.39</v>
      </c>
      <c r="I14" s="12" t="n">
        <f aca="false">AVERAGE(I4:I13)</f>
        <v>181.5</v>
      </c>
      <c r="J14" s="12" t="n">
        <f aca="false">AVERAGE(J4:J13)</f>
        <v>81</v>
      </c>
      <c r="K14" s="12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8" min="6" style="0" width="18"/>
  </cols>
  <sheetData>
    <row r="1" customFormat="false" ht="39.75" hidden="false" customHeight="true" outlineLevel="0" collapsed="false">
      <c r="A1" s="1" t="s">
        <v>304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305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B4" s="3" t="s">
        <v>306</v>
      </c>
      <c r="C4" s="3" t="s">
        <v>307</v>
      </c>
      <c r="D4" s="3" t="s">
        <v>308</v>
      </c>
      <c r="E4" s="3" t="s">
        <v>309</v>
      </c>
      <c r="F4" s="3" t="s">
        <v>310</v>
      </c>
      <c r="G4" s="3" t="s">
        <v>105</v>
      </c>
    </row>
    <row r="5" customFormat="false" ht="36" hidden="false" customHeight="true" outlineLevel="0" collapsed="false">
      <c r="B5" s="23" t="n">
        <f aca="false">COUNTA(Utenti!A4:A18)</f>
        <v>15</v>
      </c>
      <c r="C5" s="23" t="n">
        <f aca="false">COUNTIF(Eventi!M4:M15,"Aperto")</f>
        <v>11</v>
      </c>
      <c r="D5" s="23" t="n">
        <f aca="false">COUNTA('Ticket Acquistati'!A4:A18)</f>
        <v>15</v>
      </c>
      <c r="E5" s="24" t="n">
        <f aca="false">SUM('Ticket Acquistati'!G4:G18)</f>
        <v>3605</v>
      </c>
      <c r="F5" s="24" t="n">
        <f aca="false">SUM('Ticket Acquistati'!H4:H18)</f>
        <v>180.25</v>
      </c>
      <c r="G5" s="25" t="n">
        <f aca="false">AVERAGEIF(Performance!J4:J13,"&gt;0")</f>
        <v>81</v>
      </c>
    </row>
    <row r="6" customFormat="false" ht="18" hidden="false" customHeight="true" outlineLevel="0" collapsed="false">
      <c r="B6" s="26" t="s">
        <v>311</v>
      </c>
      <c r="C6" s="26" t="s">
        <v>312</v>
      </c>
      <c r="D6" s="26" t="s">
        <v>313</v>
      </c>
      <c r="E6" s="26" t="s">
        <v>314</v>
      </c>
      <c r="F6" s="26" t="s">
        <v>315</v>
      </c>
      <c r="G6" s="26" t="s">
        <v>316</v>
      </c>
    </row>
    <row r="9" customFormat="false" ht="7.5" hidden="false" customHeight="true" outlineLevel="0" collapsed="false"/>
    <row r="10" customFormat="false" ht="27.75" hidden="false" customHeight="true" outlineLevel="0" collapsed="false">
      <c r="B10" s="27" t="s">
        <v>317</v>
      </c>
      <c r="C10" s="27"/>
      <c r="D10" s="27"/>
      <c r="E10" s="27"/>
    </row>
    <row r="11" customFormat="false" ht="19.5" hidden="false" customHeight="true" outlineLevel="0" collapsed="false">
      <c r="B11" s="5" t="s">
        <v>17</v>
      </c>
      <c r="C11" s="14" t="n">
        <v>1</v>
      </c>
      <c r="D11" s="28" t="n">
        <f aca="false">C11/12</f>
        <v>0.0833333333333333</v>
      </c>
      <c r="E11" s="29" t="s">
        <v>318</v>
      </c>
    </row>
    <row r="12" customFormat="false" ht="19.5" hidden="false" customHeight="true" outlineLevel="0" collapsed="false">
      <c r="B12" s="9" t="s">
        <v>26</v>
      </c>
      <c r="C12" s="14" t="n">
        <v>1</v>
      </c>
      <c r="D12" s="30" t="n">
        <f aca="false">C12/12</f>
        <v>0.0833333333333333</v>
      </c>
      <c r="E12" s="31" t="s">
        <v>318</v>
      </c>
    </row>
    <row r="13" customFormat="false" ht="19.5" hidden="false" customHeight="true" outlineLevel="0" collapsed="false">
      <c r="B13" s="5" t="s">
        <v>33</v>
      </c>
      <c r="C13" s="14" t="n">
        <v>1</v>
      </c>
      <c r="D13" s="28" t="n">
        <f aca="false">C13/12</f>
        <v>0.0833333333333333</v>
      </c>
      <c r="E13" s="29" t="s">
        <v>318</v>
      </c>
    </row>
    <row r="14" customFormat="false" ht="19.5" hidden="false" customHeight="true" outlineLevel="0" collapsed="false">
      <c r="B14" s="9" t="s">
        <v>40</v>
      </c>
      <c r="C14" s="14" t="n">
        <v>1</v>
      </c>
      <c r="D14" s="30" t="n">
        <f aca="false">C14/12</f>
        <v>0.0833333333333333</v>
      </c>
      <c r="E14" s="31" t="s">
        <v>318</v>
      </c>
    </row>
    <row r="15" customFormat="false" ht="19.5" hidden="false" customHeight="true" outlineLevel="0" collapsed="false">
      <c r="B15" s="5" t="s">
        <v>48</v>
      </c>
      <c r="C15" s="14" t="n">
        <v>1</v>
      </c>
      <c r="D15" s="28" t="n">
        <f aca="false">C15/12</f>
        <v>0.0833333333333333</v>
      </c>
      <c r="E15" s="29" t="s">
        <v>318</v>
      </c>
    </row>
    <row r="16" customFormat="false" ht="19.5" hidden="false" customHeight="true" outlineLevel="0" collapsed="false">
      <c r="B16" s="9" t="s">
        <v>54</v>
      </c>
      <c r="C16" s="14" t="n">
        <v>1</v>
      </c>
      <c r="D16" s="30" t="n">
        <f aca="false">C16/12</f>
        <v>0.0833333333333333</v>
      </c>
      <c r="E16" s="31" t="s">
        <v>318</v>
      </c>
    </row>
    <row r="17" customFormat="false" ht="19.5" hidden="false" customHeight="true" outlineLevel="0" collapsed="false">
      <c r="B17" s="5" t="s">
        <v>61</v>
      </c>
      <c r="C17" s="14" t="n">
        <v>1</v>
      </c>
      <c r="D17" s="28" t="n">
        <f aca="false">C17/12</f>
        <v>0.0833333333333333</v>
      </c>
      <c r="E17" s="29" t="s">
        <v>318</v>
      </c>
    </row>
    <row r="18" customFormat="false" ht="19.5" hidden="false" customHeight="true" outlineLevel="0" collapsed="false">
      <c r="B18" s="9" t="s">
        <v>67</v>
      </c>
      <c r="C18" s="14" t="n">
        <v>1</v>
      </c>
      <c r="D18" s="30" t="n">
        <f aca="false">C18/12</f>
        <v>0.0833333333333333</v>
      </c>
      <c r="E18" s="31" t="s">
        <v>318</v>
      </c>
    </row>
    <row r="19" customFormat="false" ht="19.5" hidden="false" customHeight="true" outlineLevel="0" collapsed="false">
      <c r="B19" s="5" t="s">
        <v>73</v>
      </c>
      <c r="C19" s="14" t="n">
        <v>1</v>
      </c>
      <c r="D19" s="28" t="n">
        <f aca="false">C19/12</f>
        <v>0.0833333333333333</v>
      </c>
      <c r="E19" s="29" t="s">
        <v>318</v>
      </c>
    </row>
    <row r="20" customFormat="false" ht="19.5" hidden="false" customHeight="true" outlineLevel="0" collapsed="false">
      <c r="B20" s="9" t="s">
        <v>79</v>
      </c>
      <c r="C20" s="14" t="n">
        <v>1</v>
      </c>
      <c r="D20" s="30" t="n">
        <f aca="false">C20/12</f>
        <v>0.0833333333333333</v>
      </c>
      <c r="E20" s="31" t="s">
        <v>318</v>
      </c>
    </row>
    <row r="21" customFormat="false" ht="19.5" hidden="false" customHeight="true" outlineLevel="0" collapsed="false">
      <c r="B21" s="5" t="s">
        <v>85</v>
      </c>
      <c r="C21" s="14" t="n">
        <v>1</v>
      </c>
      <c r="D21" s="28" t="n">
        <f aca="false">C21/12</f>
        <v>0.0833333333333333</v>
      </c>
      <c r="E21" s="29" t="s">
        <v>318</v>
      </c>
    </row>
    <row r="22" customFormat="false" ht="19.5" hidden="false" customHeight="true" outlineLevel="0" collapsed="false">
      <c r="B22" s="9" t="s">
        <v>91</v>
      </c>
      <c r="C22" s="14" t="n">
        <v>1</v>
      </c>
      <c r="D22" s="30" t="n">
        <f aca="false">C22/12</f>
        <v>0.0833333333333333</v>
      </c>
      <c r="E22" s="31" t="s">
        <v>318</v>
      </c>
    </row>
  </sheetData>
  <mergeCells count="3">
    <mergeCell ref="A1:H1"/>
    <mergeCell ref="A2:H2"/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2026-03-14T18:18:32Z</dcterms:created>
  <dc:creator>openpyxl</dc:creator>
  <dc:description/>
  <dc:language>en-US</dc:language>
  <cp:lastModifiedBy/>
  <dcterms:modified xsi:type="dcterms:W3CDTF">2026-03-14T18:18:32Z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